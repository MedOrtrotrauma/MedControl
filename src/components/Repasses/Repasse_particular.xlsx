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\Downloads\"/>
    </mc:Choice>
  </mc:AlternateContent>
  <xr:revisionPtr revIDLastSave="0" documentId="8_{377083B5-D711-4252-B918-F90E0D9D67E5}" xr6:coauthVersionLast="47" xr6:coauthVersionMax="47" xr10:uidLastSave="{00000000-0000-0000-0000-000000000000}"/>
  <bookViews>
    <workbookView xWindow="-110" yWindow="-110" windowWidth="19420" windowHeight="10300" xr2:uid="{D9311929-5180-46B4-B485-9228D0A90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6" i="1" l="1"/>
  <c r="N16" i="1"/>
  <c r="D16" i="1"/>
  <c r="C16" i="1"/>
  <c r="O15" i="1"/>
  <c r="N15" i="1"/>
  <c r="D15" i="1"/>
  <c r="C15" i="1"/>
  <c r="O14" i="1"/>
  <c r="N14" i="1"/>
  <c r="D14" i="1"/>
  <c r="C14" i="1"/>
  <c r="O13" i="1"/>
  <c r="N13" i="1"/>
  <c r="D13" i="1"/>
  <c r="C13" i="1"/>
  <c r="O12" i="1"/>
  <c r="N12" i="1"/>
  <c r="D12" i="1"/>
  <c r="C12" i="1"/>
  <c r="O11" i="1"/>
  <c r="N11" i="1"/>
  <c r="D11" i="1"/>
  <c r="C11" i="1"/>
  <c r="O10" i="1"/>
  <c r="N10" i="1"/>
  <c r="D10" i="1"/>
  <c r="C10" i="1"/>
  <c r="O9" i="1"/>
  <c r="D9" i="1"/>
  <c r="C9" i="1"/>
  <c r="O8" i="1"/>
  <c r="N8" i="1"/>
  <c r="D8" i="1"/>
  <c r="C8" i="1"/>
  <c r="O7" i="1"/>
  <c r="N7" i="1"/>
  <c r="D7" i="1"/>
  <c r="C7" i="1"/>
  <c r="O6" i="1"/>
  <c r="N6" i="1"/>
  <c r="D6" i="1"/>
  <c r="C6" i="1"/>
  <c r="O5" i="1"/>
  <c r="O3" i="1" s="1"/>
  <c r="N5" i="1"/>
  <c r="D5" i="1"/>
  <c r="C5" i="1"/>
  <c r="M3" i="1"/>
  <c r="L3" i="1"/>
</calcChain>
</file>

<file path=xl/sharedStrings.xml><?xml version="1.0" encoding="utf-8"?>
<sst xmlns="http://schemas.openxmlformats.org/spreadsheetml/2006/main" count="103" uniqueCount="61">
  <si>
    <t>Data</t>
  </si>
  <si>
    <t>Mês</t>
  </si>
  <si>
    <t>Ano</t>
  </si>
  <si>
    <t>Médico</t>
  </si>
  <si>
    <t>Vínculo</t>
  </si>
  <si>
    <t>Paciente particular</t>
  </si>
  <si>
    <t>Procedimento</t>
  </si>
  <si>
    <t>Forma de Pagamento</t>
  </si>
  <si>
    <t>Empresa</t>
  </si>
  <si>
    <t>Conta</t>
  </si>
  <si>
    <t>Valor Recebido</t>
  </si>
  <si>
    <t>Valor de Repasse</t>
  </si>
  <si>
    <t>% Clinica</t>
  </si>
  <si>
    <t>Valor Clinica</t>
  </si>
  <si>
    <t>Check</t>
  </si>
  <si>
    <t>Observação</t>
  </si>
  <si>
    <t>SÃO FRANCISCO</t>
  </si>
  <si>
    <t>ANDERSON  ARAUJO</t>
  </si>
  <si>
    <t>Externo</t>
  </si>
  <si>
    <t>MARIA DE JESUS GALVAO DE LIMA</t>
  </si>
  <si>
    <t>CONSULTA</t>
  </si>
  <si>
    <t>ESPECIE</t>
  </si>
  <si>
    <t xml:space="preserve">NÃO </t>
  </si>
  <si>
    <t>ITAMARA MELO</t>
  </si>
  <si>
    <t>ADELMO DA COSTA COSTA PORTELA</t>
  </si>
  <si>
    <t xml:space="preserve">CASSIO HENRIQUE </t>
  </si>
  <si>
    <t>ANGELITA BEZERRA DE SOUZA</t>
  </si>
  <si>
    <t>ULTRASOM</t>
  </si>
  <si>
    <t>Cartão de Crédito</t>
  </si>
  <si>
    <t>ANTONIO CARLOS OLIVEIRA</t>
  </si>
  <si>
    <t>Sócio</t>
  </si>
  <si>
    <t>RAIMUNDO NONATO FREITAS DE SOUSA</t>
  </si>
  <si>
    <t>PIX</t>
  </si>
  <si>
    <t>SIM</t>
  </si>
  <si>
    <t xml:space="preserve">BARTOLOMEU COUTINHO </t>
  </si>
  <si>
    <t>AMANDANABETE COSTA</t>
  </si>
  <si>
    <t xml:space="preserve">DINHEIRO/PIX </t>
  </si>
  <si>
    <t>NÃO</t>
  </si>
  <si>
    <t>JARACATY</t>
  </si>
  <si>
    <t xml:space="preserve">PAULO ROGERIO </t>
  </si>
  <si>
    <t>LEIDINALVA CARVALHO</t>
  </si>
  <si>
    <t>CARTAO</t>
  </si>
  <si>
    <t>GEORGE FEITOSA</t>
  </si>
  <si>
    <t>LUCILEIA DE JESUS LINS DE OLIVEIRA</t>
  </si>
  <si>
    <t xml:space="preserve">CONSULTA </t>
  </si>
  <si>
    <t xml:space="preserve">PIX </t>
  </si>
  <si>
    <t>JULIO  FRAZAO</t>
  </si>
  <si>
    <t xml:space="preserve">JOÃO DE SOUSA FILHO </t>
  </si>
  <si>
    <t>DINHEIRO</t>
  </si>
  <si>
    <t>CARLOS ADRIANO OLIVEIRA</t>
  </si>
  <si>
    <t>PETRONILA FERREIRA ALVES</t>
  </si>
  <si>
    <t>EDSON  MEMORIA</t>
  </si>
  <si>
    <t>SANDRA PAIVA DE OLIVEIRA</t>
  </si>
  <si>
    <t>THIAGO LIRA</t>
  </si>
  <si>
    <t>SARAH GABRIELE MAFRA LOPES</t>
  </si>
  <si>
    <t>CASSIO  SOUZA</t>
  </si>
  <si>
    <t>OTAVIO CELSO SERRA DE CASTRO</t>
  </si>
  <si>
    <t>US</t>
  </si>
  <si>
    <t>CREDITO</t>
  </si>
  <si>
    <t>Unidade</t>
  </si>
  <si>
    <t>Repasse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</si>
</sst>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</font>
    <font>
      <sz val="12"/>
      <name val="Arial"/>
      <family val="2"/>
    </font>
    <font>
      <b/>
      <i/>
      <sz val="12"/>
      <name val="Arial"/>
      <family val="2"/>
    </font>
    <font>
      <b/>
      <i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5" fillId="0" borderId="0" xfId="1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64" fontId="8" fillId="0" borderId="5" xfId="0" applyNumberFormat="1" applyFont="1" applyBorder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left" vertical="center" indent="1"/>
    </xf>
    <xf numFmtId="164" fontId="8" fillId="5" borderId="5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center" vertical="center"/>
    </xf>
    <xf numFmtId="9" fontId="10" fillId="3" borderId="5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9" fontId="10" fillId="3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indent="1"/>
    </xf>
    <xf numFmtId="14" fontId="7" fillId="0" borderId="5" xfId="0" applyNumberFormat="1" applyFont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 indent="1"/>
    </xf>
    <xf numFmtId="164" fontId="7" fillId="5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17">
    <dxf>
      <font>
        <strike val="0"/>
        <u val="none"/>
        <sz val="12"/>
        <color auto="1"/>
        <name val="Arial"/>
        <scheme val="none"/>
      </font>
      <numFmt numFmtId="164" formatCode="_-&quot;R$&quot;\ * #,##0.00_-;\-&quot;R$&quot;\ * #,##0.00_-;_-&quot;R$&quot;\ * &quot;-&quot;??_-;_-@_-"/>
      <fill>
        <patternFill patternType="none"/>
      </fill>
      <alignment horizontal="center" vertical="center"/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2"/>
        <color auto="1"/>
        <name val="Arial"/>
        <scheme val="none"/>
      </font>
      <numFmt numFmtId="13" formatCode="0%"/>
      <fill>
        <patternFill patternType="solid">
          <bgColor theme="2" tint="-0.24997711111789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2"/>
        <color auto="1"/>
        <name val="Arial"/>
        <scheme val="none"/>
      </font>
      <numFmt numFmtId="13" formatCode="0%"/>
      <fill>
        <patternFill patternType="solid">
          <bgColor theme="2" tint="-0.24997711111789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numFmt numFmtId="164" formatCode="_-&quot;R$&quot;\ * #,##0.00_-;\-&quot;R$&quot;\ * #,##0.00_-;_-&quot;R$&quot;\ * &quot;-&quot;??_-;_-@_-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numFmt numFmtId="164" formatCode="_-&quot;R$&quot;\ * #,##0.00_-;\-&quot;R$&quot;\ * #,##0.00_-;_-&quot;R$&quot;\ * &quot;-&quot;??_-;_-@_-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Arial"/>
        <scheme val="none"/>
      </font>
      <alignment horizontal="left" vertical="center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2"/>
        <color auto="1"/>
        <name val="Arial"/>
        <scheme val="none"/>
      </font>
      <numFmt numFmtId="0" formatCode="General"/>
      <fill>
        <patternFill patternType="solid">
          <bgColor theme="2" tint="-0.24997711111789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2"/>
        <color auto="1"/>
        <name val="Arial"/>
        <scheme val="none"/>
      </font>
      <numFmt numFmtId="0" formatCode="General"/>
      <fill>
        <patternFill patternType="solid">
          <bgColor theme="2" tint="-0.24997711111789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numFmt numFmtId="19" formatCode="dd/mm/yyyy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Arial"/>
        <scheme val="none"/>
      </font>
      <fill>
        <patternFill patternType="none"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F529D-D101-4E4A-ACF5-63E9DDD313A8}" name="Tabela1" displayName="Tabela1" ref="A4:Q16" totalsRowShown="0">
  <autoFilter ref="A4:Q16" xr:uid="{337F529D-D101-4E4A-ACF5-63E9DDD313A8}"/>
  <tableColumns count="17">
    <tableColumn id="1" xr3:uid="{26F79A8A-2E0A-43A3-A624-6C2E6BD314A3}" name="Unidade" dataDxfId="16"/>
    <tableColumn id="2" xr3:uid="{77762E1A-9B33-476D-83D3-E39F42C40228}" name="Data" dataDxfId="15"/>
    <tableColumn id="16" xr3:uid="{0844469A-B883-4445-88DE-E2B23081DD23}" name="Mês" dataDxfId="14">
      <calculatedColumnFormula>MONTH(Tabela1[[#This Row],[Data]])</calculatedColumnFormula>
    </tableColumn>
    <tableColumn id="15" xr3:uid="{A7A64361-7241-4A8E-871B-542902221E6A}" name="Ano" dataDxfId="13">
      <calculatedColumnFormula>YEAR(Tabela1[[#This Row],[Data]])</calculatedColumnFormula>
    </tableColumn>
    <tableColumn id="3" xr3:uid="{C14176DE-AC22-48B3-BC8F-B8B3503D8ADD}" name="Médico" dataDxfId="12"/>
    <tableColumn id="14" xr3:uid="{3EEC2798-C470-47BC-B182-96B29C00DB37}" name="Vínculo" dataDxfId="11"/>
    <tableColumn id="4" xr3:uid="{5184E52A-F58D-4327-8EDF-2AD1935231E1}" name="Paciente particular" dataDxfId="10"/>
    <tableColumn id="5" xr3:uid="{D200606F-CD96-4DD3-8380-42D06237059C}" name="Procedimento" dataDxfId="9"/>
    <tableColumn id="6" xr3:uid="{2EED27FC-35BC-4A83-8CF5-EE880AE6401F}" name="Forma de Pagamento" dataDxfId="8"/>
    <tableColumn id="7" xr3:uid="{8A11685A-E3DB-4779-BCC0-06087D62F772}" name="Empresa" dataDxfId="7"/>
    <tableColumn id="8" xr3:uid="{DBFA0E35-7011-4542-831D-C046783B4EFD}" name="Conta" dataDxfId="6"/>
    <tableColumn id="9" xr3:uid="{69DC1670-0EAC-43A7-9B53-4F0EE078536D}" name="Valor Recebido" dataDxfId="5"/>
    <tableColumn id="10" xr3:uid="{D900B708-ACBE-4519-8863-7F5186D47ADC}" name="Valor de Repasse" dataDxfId="4"/>
    <tableColumn id="11" xr3:uid="{DC1E1C18-59DE-4E6D-B86A-388A63E36422}" name="% Clinica" dataDxfId="3">
      <calculatedColumnFormula>IF(Tabela1[[#This Row],[Vínculo]]="Sócio",20%,50%)</calculatedColumnFormula>
    </tableColumn>
    <tableColumn id="12" xr3:uid="{4B06B845-0433-479F-AB85-B2D1B9116787}" name="Valor Clinica" dataDxfId="2">
      <calculatedColumnFormula>IF(Tabela1[[#This Row],[Vínculo]]="Sócio",20%,50%)</calculatedColumnFormula>
    </tableColumn>
    <tableColumn id="13" xr3:uid="{10F29EF0-0CEF-4640-BB70-9932107F5BF0}" name="Check" dataDxfId="1"/>
    <tableColumn id="17" xr3:uid="{C8540F6A-35D4-4CB6-AF9A-849606E78FFD}" name="Observ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C7AD-8D4B-4553-87D4-6CAABA967976}">
  <dimension ref="A1:Q16"/>
  <sheetViews>
    <sheetView tabSelected="1" workbookViewId="0">
      <selection activeCell="A5" sqref="A5"/>
    </sheetView>
  </sheetViews>
  <sheetFormatPr defaultRowHeight="14.5" x14ac:dyDescent="0.35"/>
  <cols>
    <col min="1" max="1" width="48.90625" bestFit="1" customWidth="1"/>
    <col min="2" max="2" width="11.7265625" bestFit="1" customWidth="1"/>
    <col min="3" max="4" width="9.81640625" bestFit="1" customWidth="1"/>
    <col min="5" max="5" width="31" bestFit="1" customWidth="1"/>
    <col min="6" max="6" width="13.54296875" bestFit="1" customWidth="1"/>
    <col min="7" max="7" width="44.54296875" bestFit="1" customWidth="1"/>
    <col min="8" max="8" width="20.1796875" bestFit="1" customWidth="1"/>
    <col min="9" max="9" width="28" bestFit="1" customWidth="1"/>
    <col min="10" max="10" width="14.6328125" bestFit="1" customWidth="1"/>
    <col min="11" max="11" width="11.7265625" bestFit="1" customWidth="1"/>
    <col min="12" max="12" width="23.08984375" bestFit="1" customWidth="1"/>
    <col min="13" max="13" width="25.26953125" bestFit="1" customWidth="1"/>
    <col min="14" max="14" width="16.453125" bestFit="1" customWidth="1"/>
    <col min="15" max="15" width="20.36328125" bestFit="1" customWidth="1"/>
    <col min="16" max="16" width="12" bestFit="1" customWidth="1"/>
  </cols>
  <sheetData>
    <row r="1" spans="1:17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3" x14ac:dyDescent="0.35">
      <c r="A2" s="3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</row>
    <row r="3" spans="1:17" ht="15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4">
        <f>SUBTOTAL(9,Tabela1[Valor Recebido])</f>
        <v>4850</v>
      </c>
      <c r="M3" s="4">
        <f>SUBTOTAL(9,Tabela1[Valor de Repasse])</f>
        <v>2935</v>
      </c>
      <c r="N3" s="4"/>
      <c r="O3" s="4">
        <f>SUBTOTAL(9,Tabela1[Valor Clinica])</f>
        <v>4.2000000000000011</v>
      </c>
      <c r="P3" s="2"/>
      <c r="Q3" s="2"/>
    </row>
    <row r="4" spans="1:17" ht="15.5" x14ac:dyDescent="0.35">
      <c r="A4" s="5" t="s">
        <v>59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8" t="s">
        <v>14</v>
      </c>
      <c r="Q4" s="7" t="s">
        <v>15</v>
      </c>
    </row>
    <row r="5" spans="1:17" ht="15.5" x14ac:dyDescent="0.35">
      <c r="A5" s="9" t="s">
        <v>16</v>
      </c>
      <c r="B5" s="10">
        <v>45743</v>
      </c>
      <c r="C5" s="11">
        <f>MONTH(Tabela1[[#This Row],[Data]])</f>
        <v>3</v>
      </c>
      <c r="D5" s="11">
        <f>YEAR(Tabela1[[#This Row],[Data]])</f>
        <v>2025</v>
      </c>
      <c r="E5" s="12" t="s">
        <v>17</v>
      </c>
      <c r="F5" s="13" t="s">
        <v>18</v>
      </c>
      <c r="G5" s="14" t="s">
        <v>19</v>
      </c>
      <c r="H5" s="14" t="s">
        <v>20</v>
      </c>
      <c r="I5" s="14" t="s">
        <v>21</v>
      </c>
      <c r="J5" s="15"/>
      <c r="K5" s="14"/>
      <c r="L5" s="16">
        <v>430</v>
      </c>
      <c r="M5" s="16">
        <v>215</v>
      </c>
      <c r="N5" s="17">
        <f>IF(Tabela1[[#This Row],[Vínculo]]="Sócio",20%,50%)</f>
        <v>0.5</v>
      </c>
      <c r="O5" s="17">
        <f>IF(Tabela1[[#This Row],[Vínculo]]="Sócio",20%,50%)</f>
        <v>0.5</v>
      </c>
      <c r="P5" s="18" t="s">
        <v>22</v>
      </c>
      <c r="Q5" s="19"/>
    </row>
    <row r="6" spans="1:17" ht="15.5" x14ac:dyDescent="0.35">
      <c r="A6" s="9" t="s">
        <v>16</v>
      </c>
      <c r="B6" s="10">
        <v>45748</v>
      </c>
      <c r="C6" s="11">
        <f>MONTH(Tabela1[[#This Row],[Data]])</f>
        <v>4</v>
      </c>
      <c r="D6" s="11">
        <f>YEAR(Tabela1[[#This Row],[Data]])</f>
        <v>2025</v>
      </c>
      <c r="E6" s="12" t="s">
        <v>23</v>
      </c>
      <c r="F6" s="13" t="s">
        <v>18</v>
      </c>
      <c r="G6" s="14" t="s">
        <v>24</v>
      </c>
      <c r="H6" s="14" t="s">
        <v>20</v>
      </c>
      <c r="I6" s="14" t="s">
        <v>21</v>
      </c>
      <c r="J6" s="15"/>
      <c r="K6" s="14"/>
      <c r="L6" s="16">
        <v>430</v>
      </c>
      <c r="M6" s="16">
        <v>215</v>
      </c>
      <c r="N6" s="17">
        <f>IF(Tabela1[[#This Row],[Vínculo]]="Sócio",20%,50%)</f>
        <v>0.5</v>
      </c>
      <c r="O6" s="17">
        <f>IF(Tabela1[[#This Row],[Vínculo]]="Sócio",20%,50%)</f>
        <v>0.5</v>
      </c>
      <c r="P6" s="18" t="s">
        <v>22</v>
      </c>
      <c r="Q6" s="19"/>
    </row>
    <row r="7" spans="1:17" ht="15.5" x14ac:dyDescent="0.35">
      <c r="A7" s="9" t="s">
        <v>16</v>
      </c>
      <c r="B7" s="10">
        <v>46181</v>
      </c>
      <c r="C7" s="11">
        <f>MONTH(Tabela1[[#This Row],[Data]])</f>
        <v>6</v>
      </c>
      <c r="D7" s="11">
        <f>YEAR(Tabela1[[#This Row],[Data]])</f>
        <v>2026</v>
      </c>
      <c r="E7" s="2" t="s">
        <v>25</v>
      </c>
      <c r="F7" s="20" t="s">
        <v>18</v>
      </c>
      <c r="G7" s="14" t="s">
        <v>26</v>
      </c>
      <c r="H7" s="12" t="s">
        <v>27</v>
      </c>
      <c r="I7" s="14" t="s">
        <v>28</v>
      </c>
      <c r="J7" s="15"/>
      <c r="K7" s="14"/>
      <c r="L7" s="16">
        <v>250</v>
      </c>
      <c r="M7" s="21">
        <v>125</v>
      </c>
      <c r="N7" s="17">
        <f>IF(Tabela1[[#This Row],[Vínculo]]="Sócio",20%,50%)</f>
        <v>0.5</v>
      </c>
      <c r="O7" s="17">
        <f>IF(Tabela1[[#This Row],[Vínculo]]="Sócio",20%,50%)</f>
        <v>0.5</v>
      </c>
      <c r="P7" s="18" t="s">
        <v>22</v>
      </c>
      <c r="Q7" s="22"/>
    </row>
    <row r="8" spans="1:17" ht="15.5" x14ac:dyDescent="0.35">
      <c r="A8" s="9" t="s">
        <v>16</v>
      </c>
      <c r="B8" s="23">
        <v>46196</v>
      </c>
      <c r="C8" s="24">
        <f>MONTH(Tabela1[[#This Row],[Data]])</f>
        <v>6</v>
      </c>
      <c r="D8" s="24">
        <f>YEAR(Tabela1[[#This Row],[Data]])</f>
        <v>2026</v>
      </c>
      <c r="E8" s="25" t="s">
        <v>29</v>
      </c>
      <c r="F8" s="20" t="s">
        <v>30</v>
      </c>
      <c r="G8" s="25" t="s">
        <v>31</v>
      </c>
      <c r="H8" s="25" t="s">
        <v>20</v>
      </c>
      <c r="I8" s="25" t="s">
        <v>32</v>
      </c>
      <c r="J8" s="26"/>
      <c r="K8" s="25"/>
      <c r="L8" s="27">
        <v>430</v>
      </c>
      <c r="M8" s="27">
        <v>300</v>
      </c>
      <c r="N8" s="28">
        <f>IF(Tabela1[[#This Row],[Vínculo]]="Sócio",20%,50%)</f>
        <v>0.2</v>
      </c>
      <c r="O8" s="28">
        <f>IF(Tabela1[[#This Row],[Vínculo]]="Sócio",20%,50%)</f>
        <v>0.2</v>
      </c>
      <c r="P8" s="29" t="s">
        <v>33</v>
      </c>
      <c r="Q8" s="22"/>
    </row>
    <row r="9" spans="1:17" ht="15.5" x14ac:dyDescent="0.35">
      <c r="A9" s="9" t="s">
        <v>16</v>
      </c>
      <c r="B9" s="23">
        <v>46199</v>
      </c>
      <c r="C9" s="30">
        <f>MONTH(Tabela1[[#This Row],[Data]])</f>
        <v>6</v>
      </c>
      <c r="D9" s="30">
        <f>YEAR(Tabela1[[#This Row],[Data]])</f>
        <v>2026</v>
      </c>
      <c r="E9" s="31" t="s">
        <v>34</v>
      </c>
      <c r="F9" s="13" t="s">
        <v>30</v>
      </c>
      <c r="G9" s="31" t="s">
        <v>35</v>
      </c>
      <c r="H9" s="31" t="s">
        <v>20</v>
      </c>
      <c r="I9" s="31" t="s">
        <v>36</v>
      </c>
      <c r="J9" s="32"/>
      <c r="K9" s="31"/>
      <c r="L9" s="33">
        <v>430</v>
      </c>
      <c r="M9" s="33">
        <v>300</v>
      </c>
      <c r="N9" s="34" t="s">
        <v>37</v>
      </c>
      <c r="O9" s="35">
        <f>IF(Tabela1[[#This Row],[Vínculo]]="Sócio",20%,50%)</f>
        <v>0.2</v>
      </c>
      <c r="P9" s="18" t="s">
        <v>22</v>
      </c>
      <c r="Q9" s="22"/>
    </row>
    <row r="10" spans="1:17" ht="15.5" x14ac:dyDescent="0.35">
      <c r="A10" s="9" t="s">
        <v>38</v>
      </c>
      <c r="B10" s="23">
        <v>46204</v>
      </c>
      <c r="C10" s="30">
        <f>MONTH(Tabela1[[#This Row],[Data]])</f>
        <v>7</v>
      </c>
      <c r="D10" s="30">
        <f>YEAR(Tabela1[[#This Row],[Data]])</f>
        <v>2026</v>
      </c>
      <c r="E10" s="31" t="s">
        <v>39</v>
      </c>
      <c r="F10" s="13" t="s">
        <v>30</v>
      </c>
      <c r="G10" s="31" t="s">
        <v>40</v>
      </c>
      <c r="H10" s="31" t="s">
        <v>20</v>
      </c>
      <c r="I10" s="31" t="s">
        <v>41</v>
      </c>
      <c r="J10" s="32"/>
      <c r="K10" s="31"/>
      <c r="L10" s="33">
        <v>430</v>
      </c>
      <c r="M10" s="33">
        <v>300</v>
      </c>
      <c r="N10" s="35">
        <f>IF(Tabela1[[#This Row],[Vínculo]]="Sócio",20%,50%)</f>
        <v>0.2</v>
      </c>
      <c r="O10" s="35">
        <f>IF(Tabela1[[#This Row],[Vínculo]]="Sócio",20%,50%)</f>
        <v>0.2</v>
      </c>
      <c r="P10" s="18" t="s">
        <v>22</v>
      </c>
      <c r="Q10" s="22"/>
    </row>
    <row r="11" spans="1:17" ht="15.5" x14ac:dyDescent="0.35">
      <c r="A11" s="9" t="s">
        <v>38</v>
      </c>
      <c r="B11" s="23">
        <v>46212</v>
      </c>
      <c r="C11" s="30">
        <f>MONTH(Tabela1[[#This Row],[Data]])</f>
        <v>7</v>
      </c>
      <c r="D11" s="30">
        <f>YEAR(Tabela1[[#This Row],[Data]])</f>
        <v>2026</v>
      </c>
      <c r="E11" s="31" t="s">
        <v>42</v>
      </c>
      <c r="F11" s="36" t="s">
        <v>30</v>
      </c>
      <c r="G11" s="31" t="s">
        <v>43</v>
      </c>
      <c r="H11" s="31" t="s">
        <v>44</v>
      </c>
      <c r="I11" s="31" t="s">
        <v>45</v>
      </c>
      <c r="J11" s="32"/>
      <c r="K11" s="31"/>
      <c r="L11" s="33">
        <v>430</v>
      </c>
      <c r="M11" s="33">
        <v>300</v>
      </c>
      <c r="N11" s="35">
        <f>IF(Tabela1[[#This Row],[Vínculo]]="Sócio",20%,50%)</f>
        <v>0.2</v>
      </c>
      <c r="O11" s="35">
        <f>IF(Tabela1[[#This Row],[Vínculo]]="Sócio",20%,50%)</f>
        <v>0.2</v>
      </c>
      <c r="P11" s="18" t="s">
        <v>22</v>
      </c>
      <c r="Q11" s="22"/>
    </row>
    <row r="12" spans="1:17" ht="15.5" x14ac:dyDescent="0.35">
      <c r="A12" s="9" t="s">
        <v>38</v>
      </c>
      <c r="B12" s="23">
        <v>46212</v>
      </c>
      <c r="C12" s="30">
        <f>MONTH(Tabela1[[#This Row],[Data]])</f>
        <v>7</v>
      </c>
      <c r="D12" s="30">
        <f>YEAR(Tabela1[[#This Row],[Data]])</f>
        <v>2026</v>
      </c>
      <c r="E12" s="31" t="s">
        <v>46</v>
      </c>
      <c r="F12" s="36" t="s">
        <v>30</v>
      </c>
      <c r="G12" s="31" t="s">
        <v>47</v>
      </c>
      <c r="H12" s="31" t="s">
        <v>44</v>
      </c>
      <c r="I12" s="31" t="s">
        <v>48</v>
      </c>
      <c r="J12" s="32"/>
      <c r="K12" s="31"/>
      <c r="L12" s="33">
        <v>430</v>
      </c>
      <c r="M12" s="33">
        <v>300</v>
      </c>
      <c r="N12" s="35">
        <f>IF(Tabela1[[#This Row],[Vínculo]]="Sócio",20%,50%)</f>
        <v>0.2</v>
      </c>
      <c r="O12" s="35">
        <f>IF(Tabela1[[#This Row],[Vínculo]]="Sócio",20%,50%)</f>
        <v>0.2</v>
      </c>
      <c r="P12" s="18" t="s">
        <v>22</v>
      </c>
      <c r="Q12" s="22"/>
    </row>
    <row r="13" spans="1:17" ht="15.5" x14ac:dyDescent="0.35">
      <c r="A13" s="9" t="s">
        <v>16</v>
      </c>
      <c r="B13" s="37">
        <v>46216</v>
      </c>
      <c r="C13" s="24">
        <f>MONTH(Tabela1[[#This Row],[Data]])</f>
        <v>7</v>
      </c>
      <c r="D13" s="24">
        <f>YEAR(Tabela1[[#This Row],[Data]])</f>
        <v>2026</v>
      </c>
      <c r="E13" s="25" t="s">
        <v>49</v>
      </c>
      <c r="F13" s="20" t="s">
        <v>30</v>
      </c>
      <c r="G13" s="25" t="s">
        <v>50</v>
      </c>
      <c r="H13" s="31" t="s">
        <v>44</v>
      </c>
      <c r="I13" s="31" t="s">
        <v>48</v>
      </c>
      <c r="J13" s="32"/>
      <c r="K13" s="31"/>
      <c r="L13" s="33">
        <v>430</v>
      </c>
      <c r="M13" s="33">
        <v>300</v>
      </c>
      <c r="N13" s="35">
        <f>IF(Tabela1[[#This Row],[Vínculo]]="Sócio",20%,50%)</f>
        <v>0.2</v>
      </c>
      <c r="O13" s="35">
        <f>IF(Tabela1[[#This Row],[Vínculo]]="Sócio",20%,50%)</f>
        <v>0.2</v>
      </c>
      <c r="P13" s="18" t="s">
        <v>22</v>
      </c>
      <c r="Q13" s="22"/>
    </row>
    <row r="14" spans="1:17" ht="15.5" x14ac:dyDescent="0.35">
      <c r="A14" s="9" t="s">
        <v>16</v>
      </c>
      <c r="B14" s="23">
        <v>46219</v>
      </c>
      <c r="C14" s="30">
        <f>MONTH(Tabela1[[#This Row],[Data]])</f>
        <v>7</v>
      </c>
      <c r="D14" s="30">
        <f>YEAR(Tabela1[[#This Row],[Data]])</f>
        <v>2026</v>
      </c>
      <c r="E14" s="31" t="s">
        <v>51</v>
      </c>
      <c r="F14" s="36" t="s">
        <v>18</v>
      </c>
      <c r="G14" s="31" t="s">
        <v>52</v>
      </c>
      <c r="H14" s="31" t="s">
        <v>20</v>
      </c>
      <c r="I14" s="31" t="s">
        <v>32</v>
      </c>
      <c r="J14" s="32"/>
      <c r="K14" s="31"/>
      <c r="L14" s="33">
        <v>430</v>
      </c>
      <c r="M14" s="33">
        <v>215</v>
      </c>
      <c r="N14" s="35">
        <f>IF(Tabela1[[#This Row],[Vínculo]]="Sócio",20%,50%)</f>
        <v>0.5</v>
      </c>
      <c r="O14" s="35">
        <f>IF(Tabela1[[#This Row],[Vínculo]]="Sócio",20%,50%)</f>
        <v>0.5</v>
      </c>
      <c r="P14" s="18" t="s">
        <v>22</v>
      </c>
      <c r="Q14" s="22"/>
    </row>
    <row r="15" spans="1:17" ht="15.5" x14ac:dyDescent="0.35">
      <c r="A15" s="9" t="s">
        <v>16</v>
      </c>
      <c r="B15" s="23">
        <v>46220</v>
      </c>
      <c r="C15" s="30">
        <f>MONTH(Tabela1[[#This Row],[Data]])</f>
        <v>7</v>
      </c>
      <c r="D15" s="30">
        <f>YEAR(Tabela1[[#This Row],[Data]])</f>
        <v>2026</v>
      </c>
      <c r="E15" s="31" t="s">
        <v>53</v>
      </c>
      <c r="F15" s="36" t="s">
        <v>18</v>
      </c>
      <c r="G15" s="31" t="s">
        <v>54</v>
      </c>
      <c r="H15" s="31" t="s">
        <v>20</v>
      </c>
      <c r="I15" s="31" t="s">
        <v>32</v>
      </c>
      <c r="J15" s="32"/>
      <c r="K15" s="31"/>
      <c r="L15" s="33">
        <v>430</v>
      </c>
      <c r="M15" s="33">
        <v>215</v>
      </c>
      <c r="N15" s="35">
        <f>IF(Tabela1[[#This Row],[Vínculo]]="Sócio",20%,50%)</f>
        <v>0.5</v>
      </c>
      <c r="O15" s="35">
        <f>IF(Tabela1[[#This Row],[Vínculo]]="Sócio",20%,50%)</f>
        <v>0.5</v>
      </c>
      <c r="P15" s="18" t="s">
        <v>22</v>
      </c>
      <c r="Q15" s="22"/>
    </row>
    <row r="16" spans="1:17" ht="15.5" x14ac:dyDescent="0.35">
      <c r="A16" s="9" t="s">
        <v>16</v>
      </c>
      <c r="B16" s="23">
        <v>46238</v>
      </c>
      <c r="C16" s="24">
        <f>MONTH(Tabela1[[#This Row],[Data]])</f>
        <v>8</v>
      </c>
      <c r="D16" s="24">
        <f>YEAR(Tabela1[[#This Row],[Data]])</f>
        <v>2026</v>
      </c>
      <c r="E16" s="25" t="s">
        <v>55</v>
      </c>
      <c r="F16" s="38" t="s">
        <v>18</v>
      </c>
      <c r="G16" s="25" t="s">
        <v>56</v>
      </c>
      <c r="H16" s="25" t="s">
        <v>57</v>
      </c>
      <c r="I16" s="25" t="s">
        <v>58</v>
      </c>
      <c r="J16" s="26"/>
      <c r="K16" s="25"/>
      <c r="L16" s="27">
        <v>300</v>
      </c>
      <c r="M16" s="39">
        <v>150</v>
      </c>
      <c r="N16" s="28">
        <f>IF(Tabela1[[#This Row],[Vínculo]]="Sócio",20%,50%)</f>
        <v>0.5</v>
      </c>
      <c r="O16" s="28">
        <f>IF(Tabela1[[#This Row],[Vínculo]]="Sócio",20%,50%)</f>
        <v>0.5</v>
      </c>
      <c r="P16" s="18" t="s">
        <v>22</v>
      </c>
      <c r="Q16" s="22"/>
    </row>
  </sheetData>
  <dataValidations count="2">
    <dataValidation type="list" allowBlank="1" showInputMessage="1" showErrorMessage="1" sqref="F13 F5:F10" xr:uid="{04FBFC3F-15E1-4934-B7EB-ADA7E4FD804A}">
      <formula1>"Sócio, Externo"</formula1>
    </dataValidation>
    <dataValidation type="list" allowBlank="1" showInputMessage="1" showErrorMessage="1" sqref="N9 P5:P16" xr:uid="{2FF42E4A-3D8E-4258-9CFA-1A4F2DE9FFF0}">
      <formula1>"SIM, 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RAYANNY REGO</dc:creator>
  <cp:lastModifiedBy>RAYANNY REGO</cp:lastModifiedBy>
  <dcterms:created xsi:type="dcterms:W3CDTF">2026-09-09T00:04:09Z</dcterms:created>
  <dcterms:modified xsi:type="dcterms:W3CDTF">2026-09-09T00:05:40Z</dcterms:modified>
</cp:coreProperties>
</file>